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<sst xmlns="http://schemas.openxmlformats.org/spreadsheetml/2006/main" count="161" uniqueCount="119">
  <si>
    <t xml:space="preserve">#</t>
  </si>
  <si>
    <t xml:space="preserve">Agent</t>
  </si>
  <si>
    <t xml:space="preserve">Named after</t>
  </si>
  <si>
    <t xml:space="preserve">Domain</t>
  </si>
  <si>
    <t xml:space="preserve">Status</t>
  </si>
  <si>
    <t xml:space="preserve">R (Reach)</t>
  </si>
  <si>
    <t xml:space="preserve">I (Impact)</t>
  </si>
  <si>
    <t xml:space="preserve">P (Popularity)</t>
  </si>
  <si>
    <t xml:space="preserve">F (Rahat-Fit)</t>
  </si>
  <si>
    <t xml:space="preserve">Σ</t>
  </si>
  <si>
    <t xml:space="preserve">VP-PM thesis (why it captures market)</t>
  </si>
  <si>
    <t xml:space="preserve">Suggested Wave</t>
  </si>
  <si>
    <t xml:space="preserve">Your call: Now / Soon / Later</t>
  </si>
  <si>
    <t xml:space="preserve">The Miya</t>
  </si>
  <si>
    <t xml:space="preserve">Dakhini-Urdu honorific</t>
  </si>
  <si>
    <t xml:space="preserve">Orchestrator</t>
  </si>
  <si>
    <t xml:space="preserve">Live</t>
  </si>
  <si>
    <t xml:space="preserve">Infrastructure, not an agent to ship — but the single voice that makes any of the rest scale. Score reflects load-bearing, not virality.</t>
  </si>
  <si>
    <t xml:space="preserve">The Charter</t>
  </si>
  <si>
    <t xml:space="preserve">Infrastructure</t>
  </si>
  <si>
    <t xml:space="preserve">Policy plane</t>
  </si>
  <si>
    <t xml:space="preserve">The chokepoint. Invisible to the user; non-negotiable for trust. Already shipped.</t>
  </si>
  <si>
    <t xml:space="preserve">Fraser</t>
  </si>
  <si>
    <t xml:space="preserve">Matt Fraser</t>
  </si>
  <si>
    <t xml:space="preserve">CrossFit programming</t>
  </si>
  <si>
    <t xml:space="preserve">Niche but loud — CrossFit audience shares unprompted. Keep as-is, do not expand investment until adjacent fitness agents demand it.</t>
  </si>
  <si>
    <t xml:space="preserve">Kobe</t>
  </si>
  <si>
    <t xml:space="preserve">Kobe Bryant</t>
  </si>
  <si>
    <t xml:space="preserve">Vitality / training trajectory</t>
  </si>
  <si>
    <t xml:space="preserve">Renamed Scientist. Brand instantly read as discipline + excellence; broadens beyond CrossFit to anyone with a body-goal arc.</t>
  </si>
  <si>
    <t xml:space="preserve">Genie</t>
  </si>
  <si>
    <t xml:space="preserve">Aladdin's Genie</t>
  </si>
  <si>
    <t xml:space="preserve">Weekend family composer</t>
  </si>
  <si>
    <t xml:space="preserve">New</t>
  </si>
  <si>
    <t xml:space="preserve">Highest-scoring agent in the deck. Universal family rhythm — meals, chores, together-time, downtime. The agent your spouse asks you to build first.</t>
  </si>
  <si>
    <t xml:space="preserve">Wave 1</t>
  </si>
  <si>
    <t xml:space="preserve">Huberman</t>
  </si>
  <si>
    <t xml:space="preserve">Andrew Huberman</t>
  </si>
  <si>
    <t xml:space="preserve">Recovery / HRV / safety</t>
  </si>
  <si>
    <t xml:space="preserve">Stub</t>
  </si>
  <si>
    <t xml:space="preserve">Single best rebrand in the deck — Huberman Lab listeners are core LinkedIn demo. Promote to first-class agent; the name does the marketing.</t>
  </si>
  <si>
    <t xml:space="preserve">Disney</t>
  </si>
  <si>
    <t xml:space="preserve">Walt Disney</t>
  </si>
  <si>
    <t xml:space="preserve">Weekend kids composer</t>
  </si>
  <si>
    <t xml:space="preserve">The screenshot agent of the year. Saturday-morning one-tap full-day kid itinerary — the parent-AI moment LinkedIn has been waiting for.</t>
  </si>
  <si>
    <t xml:space="preserve">Polo</t>
  </si>
  <si>
    <t xml:space="preserve">Marco Polo</t>
  </si>
  <si>
    <t xml:space="preserve">Pre-trip planner</t>
  </si>
  <si>
    <t xml:space="preserve">Hotel match, neighborhood plan, kid-friendly threshold, OOO drafts. TripIt is a folder; Polo is a concierge with memory.</t>
  </si>
  <si>
    <t xml:space="preserve">Bourdain</t>
  </si>
  <si>
    <t xml:space="preserve">Anthony Bourdain</t>
  </si>
  <si>
    <t xml:space="preserve">In-trip concierge</t>
  </si>
  <si>
    <t xml:space="preserve">Real-time replanning when flights / kids / weather flip. The agent that earns lifetime loyalty by saving one vacation.</t>
  </si>
  <si>
    <t xml:space="preserve">Santa</t>
  </si>
  <si>
    <t xml:space="preserve">Santa Claus</t>
  </si>
  <si>
    <t xml:space="preserve">Gift conductor</t>
  </si>
  <si>
    <t xml:space="preserve">The single most-shared agent in any version of this list. Universal pain, taste graph required, ‘picks + ships + drafts the card’ is M5.</t>
  </si>
  <si>
    <t xml:space="preserve">Casanova</t>
  </si>
  <si>
    <t xml:space="preserve">Giacomo Casanova</t>
  </si>
  <si>
    <t xml:space="preserve">Date night composer</t>
  </si>
  <si>
    <t xml:space="preserve">Held</t>
  </si>
  <si>
    <t xml:space="preserve">Single best name + content match in the deck. Ships the moment Mocha + Bourdain + Ramsay have ~3 months of taste data — pure substrate payoff.</t>
  </si>
  <si>
    <t xml:space="preserve">Wave 2</t>
  </si>
  <si>
    <t xml:space="preserve">Montessori</t>
  </si>
  <si>
    <t xml:space="preserve">Maria Montessori</t>
  </si>
  <si>
    <t xml:space="preserve">Toddler + newborn</t>
  </si>
  <si>
    <t xml:space="preserve">Multi-subject killer. Montessori parents are LinkedIn-vocal and share developmental wins. Pairs with Disney for the parent-AI narrative.</t>
  </si>
  <si>
    <t xml:space="preserve">Ramu Kaka</t>
  </si>
  <si>
    <t xml:space="preserve">Bollywood household helper</t>
  </si>
  <si>
    <t xml:space="preserve">Pantry + grocery</t>
  </si>
  <si>
    <t xml:space="preserve">Universal household pain. Indian-diaspora name carries warmth without exclusion (anyone gets the helper trope). Auto-order is the M5 moment.</t>
  </si>
  <si>
    <t xml:space="preserve">Ramsay</t>
  </si>
  <si>
    <t xml:space="preserve">Gordon Ramsay</t>
  </si>
  <si>
    <t xml:space="preserve">Cooking + dietary audit</t>
  </si>
  <si>
    <t xml:space="preserve">Ramsay = instant credibility + permission to be opinionated. Vision-based meal audit + recipe agent. The agent that makes Rahat feel like a chef.</t>
  </si>
  <si>
    <t xml:space="preserve">Sherlock</t>
  </si>
  <si>
    <t xml:space="preserve">Sherlock Holmes</t>
  </si>
  <si>
    <t xml:space="preserve">Local treasure finder</t>
  </si>
  <si>
    <t xml:space="preserve">Cross-cutting curator that gets richer with every other agent shipped. Investigate + recommend + book. Best ‘aha’ moment per turn.</t>
  </si>
  <si>
    <t xml:space="preserve">Mocha</t>
  </si>
  <si>
    <t xml:space="preserve">Yemeni port-of-coffee</t>
  </si>
  <si>
    <t xml:space="preserve">Coffee shop curator</t>
  </si>
  <si>
    <t xml:space="preserve">Anywhere you go, the 1 specialty roaster within 10 min that matches your taste. Cross-city memory is the moat — no Yelp does this.</t>
  </si>
  <si>
    <t xml:space="preserve">Luwak</t>
  </si>
  <si>
    <t xml:space="preserve">Asian palm civet</t>
  </si>
  <si>
    <t xml:space="preserve">Coffee beans orderer</t>
  </si>
  <si>
    <t xml:space="preserve">Trade ships beans; Luwak ships a palate. Subscription stickiness is real but TAM is narrow — Wave 3 evangelist agent.</t>
  </si>
  <si>
    <t xml:space="preserve">Wave 3</t>
  </si>
  <si>
    <t xml:space="preserve">Buffett</t>
  </si>
  <si>
    <t xml:space="preserve">Warren Buffett</t>
  </si>
  <si>
    <t xml:space="preserve">Calendar + scheduling</t>
  </si>
  <si>
    <t xml:space="preserve">Commodity surface — Reclaim/Clockwise/Calendly own this. Build only as a Charter-aware household-calendar layer, not a standalone agent.</t>
  </si>
  <si>
    <t xml:space="preserve">La Marzocco</t>
  </si>
  <si>
    <t xml:space="preserve">Italian espresso machine maker</t>
  </si>
  <si>
    <t xml:space="preserve">Espresso ritual</t>
  </si>
  <si>
    <t xml:space="preserve">Narrow but high-LTV. Coffee-machine owners are evangelists. Keep as a feature of Mocha unless dedicated users justify it.</t>
  </si>
  <si>
    <t xml:space="preserve">Antoinette</t>
  </si>
  <si>
    <t xml:space="preserve">Marie Antoinette</t>
  </si>
  <si>
    <t xml:space="preserve">Pastry / sweet-spot curator</t>
  </si>
  <si>
    <t xml:space="preserve">Name is a pun and that is a feature. Smaller TAM than coffee but ferocious repeat-share — pastry photos are LinkedIn catnip.</t>
  </si>
  <si>
    <t xml:space="preserve">Ustad</t>
  </si>
  <si>
    <t xml:space="preserve">Urdu master</t>
  </si>
  <si>
    <t xml:space="preserve">Guitar audit + practice</t>
  </si>
  <si>
    <t xml:space="preserve">Personal-passion agent — narrow TAM but deeply emotional for users who fit. Build only after the mesh is dense.</t>
  </si>
  <si>
    <t xml:space="preserve">Rahat — 21-Agent Mesh Scoring</t>
  </si>
  <si>
    <t xml:space="preserve">Step 1 of 2: VP-PM-at-Anthropic cut. Step 2: your Now / Soon / Later pass.</t>
  </si>
  <si>
    <t xml:space="preserve">Column</t>
  </si>
  <si>
    <t xml:space="preserve">Meaning</t>
  </si>
  <si>
    <t xml:space="preserve">Share of the LinkedIn audience that genuinely has this pain. 5 = nearly universal. 1 = niche.</t>
  </si>
  <si>
    <t xml:space="preserve">Material change in daily life within a week — time saved, decisions removed, wellbeing delta.</t>
  </si>
  <si>
    <t xml:space="preserve">LinkedIn-screenshot virality: would the user post this? Would others share it? 5 = inevitable share.</t>
  </si>
  <si>
    <t xml:space="preserve">How natively the agent uses the substrate — memory, Charter, single voice, multi-subject. 5 = substrate is the unfair advantage.</t>
  </si>
  <si>
    <t xml:space="preserve">Sum out of 20. Ranking driver. Infrastructure rows (Miya, Charter) score high but are not 'agents to ship'.</t>
  </si>
  <si>
    <t xml:space="preserve">Live = already shipped. Stub = scaffolded, needs full build. New = on the design board. Held = ready, waiting on dependencies.</t>
  </si>
  <si>
    <t xml:space="preserve">VP-PM call: Wave 1 (months 1-2 — capture). Wave 2 (months 3-4 — broaden). Wave 3 (months 5-6 — defend with evangelist agents).</t>
  </si>
  <si>
    <t xml:space="preserve">Your call</t>
  </si>
  <si>
    <t xml:space="preserve">Empty. Fill in Now / Soon / Later. Then send back — I'll challenge, push back, and we converge.</t>
  </si>
  <si>
    <t xml:space="preserve">How to use</t>
  </si>
  <si>
    <t xml:space="preserve">Sort by Σ descending to see the priority order. Edit any R/I/P/F score — Σ recalculates automatically.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</si>
</sst>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4513"/>
        <bgColor rgb="FF993366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A88A"/>
      </left>
      <right style="thin">
        <color rgb="FFC0A88A"/>
      </right>
      <top style="thin">
        <color rgb="FFC0A88A"/>
      </top>
      <bottom style="thin">
        <color rgb="FFC0A8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A88A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10" min="6" style="0" width="7"/>
    <col collapsed="false" customWidth="true" hidden="false" outlineLevel="0" max="11" min="11" style="0" width="64"/>
    <col collapsed="false" customWidth="true" hidden="false" outlineLevel="0" max="12" min="12" style="0" width="11"/>
    <col collapsed="false" customWidth="true" hidden="false" outlineLevel="0" max="13" min="13" style="0" width="24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n">
        <v>1</v>
      </c>
      <c r="B2" s="3" t="s">
        <v>13</v>
      </c>
      <c r="C2" s="4" t="s">
        <v>14</v>
      </c>
      <c r="D2" s="4" t="s">
        <v>15</v>
      </c>
      <c r="E2" s="2" t="s">
        <v>16</v>
      </c>
      <c r="F2" s="2" t="n">
        <v>5</v>
      </c>
      <c r="G2" s="2" t="n">
        <v>5</v>
      </c>
      <c r="H2" s="2" t="n">
        <v>3</v>
      </c>
      <c r="I2" s="2" t="n">
        <v>5</v>
      </c>
      <c r="J2" s="5" t="n">
        <f aca="false">SUM(F2:I2)</f>
        <v>18</v>
      </c>
      <c r="K2" s="6" t="s">
        <v>17</v>
      </c>
      <c r="L2" s="2" t="s">
        <v>16</v>
      </c>
      <c r="M2" s="4"/>
    </row>
    <row r="3" customFormat="false" ht="15" hidden="false" customHeight="false" outlineLevel="0" collapsed="false">
      <c r="A3" s="2" t="n">
        <v>2</v>
      </c>
      <c r="B3" s="3" t="s">
        <v>18</v>
      </c>
      <c r="C3" s="4" t="s">
        <v>19</v>
      </c>
      <c r="D3" s="4" t="s">
        <v>20</v>
      </c>
      <c r="E3" s="2" t="s">
        <v>16</v>
      </c>
      <c r="F3" s="2" t="n">
        <v>5</v>
      </c>
      <c r="G3" s="2" t="n">
        <v>5</v>
      </c>
      <c r="H3" s="2" t="n">
        <v>2</v>
      </c>
      <c r="I3" s="2" t="n">
        <v>5</v>
      </c>
      <c r="J3" s="5" t="n">
        <f aca="false">SUM(F3:I3)</f>
        <v>17</v>
      </c>
      <c r="K3" s="6" t="s">
        <v>21</v>
      </c>
      <c r="L3" s="2" t="s">
        <v>16</v>
      </c>
      <c r="M3" s="4"/>
    </row>
    <row r="4" customFormat="false" ht="23.85" hidden="false" customHeight="false" outlineLevel="0" collapsed="false">
      <c r="A4" s="2" t="n">
        <v>3</v>
      </c>
      <c r="B4" s="3" t="s">
        <v>22</v>
      </c>
      <c r="C4" s="4" t="s">
        <v>23</v>
      </c>
      <c r="D4" s="4" t="s">
        <v>24</v>
      </c>
      <c r="E4" s="2" t="s">
        <v>16</v>
      </c>
      <c r="F4" s="2" t="n">
        <v>2</v>
      </c>
      <c r="G4" s="2" t="n">
        <v>5</v>
      </c>
      <c r="H4" s="2" t="n">
        <v>3</v>
      </c>
      <c r="I4" s="2" t="n">
        <v>5</v>
      </c>
      <c r="J4" s="5" t="n">
        <f aca="false">SUM(F4:I4)</f>
        <v>15</v>
      </c>
      <c r="K4" s="6" t="s">
        <v>25</v>
      </c>
      <c r="L4" s="2" t="s">
        <v>16</v>
      </c>
      <c r="M4" s="4"/>
    </row>
    <row r="5" customFormat="false" ht="23.85" hidden="false" customHeight="false" outlineLevel="0" collapsed="false">
      <c r="A5" s="2" t="n">
        <v>4</v>
      </c>
      <c r="B5" s="3" t="s">
        <v>26</v>
      </c>
      <c r="C5" s="4" t="s">
        <v>27</v>
      </c>
      <c r="D5" s="4" t="s">
        <v>28</v>
      </c>
      <c r="E5" s="2" t="s">
        <v>16</v>
      </c>
      <c r="F5" s="2" t="n">
        <v>3</v>
      </c>
      <c r="G5" s="2" t="n">
        <v>5</v>
      </c>
      <c r="H5" s="2" t="n">
        <v>4</v>
      </c>
      <c r="I5" s="2" t="n">
        <v>5</v>
      </c>
      <c r="J5" s="5" t="n">
        <f aca="false">SUM(F5:I5)</f>
        <v>17</v>
      </c>
      <c r="K5" s="6" t="s">
        <v>29</v>
      </c>
      <c r="L5" s="2" t="s">
        <v>16</v>
      </c>
      <c r="M5" s="4"/>
    </row>
    <row r="6" customFormat="false" ht="23.85" hidden="false" customHeight="false" outlineLevel="0" collapsed="false">
      <c r="A6" s="7" t="n">
        <v>13</v>
      </c>
      <c r="B6" s="8" t="s">
        <v>30</v>
      </c>
      <c r="C6" s="9" t="s">
        <v>31</v>
      </c>
      <c r="D6" s="9" t="s">
        <v>32</v>
      </c>
      <c r="E6" s="7" t="s">
        <v>33</v>
      </c>
      <c r="F6" s="7" t="n">
        <v>5</v>
      </c>
      <c r="G6" s="7" t="n">
        <v>5</v>
      </c>
      <c r="H6" s="7" t="n">
        <v>5</v>
      </c>
      <c r="I6" s="7" t="n">
        <v>5</v>
      </c>
      <c r="J6" s="10" t="n">
        <f aca="false">SUM(F6:I6)</f>
        <v>20</v>
      </c>
      <c r="K6" s="11" t="s">
        <v>34</v>
      </c>
      <c r="L6" s="7" t="s">
        <v>35</v>
      </c>
      <c r="M6" s="9"/>
    </row>
    <row r="7" customFormat="false" ht="23.85" hidden="false" customHeight="false" outlineLevel="0" collapsed="false">
      <c r="A7" s="7" t="n">
        <v>5</v>
      </c>
      <c r="B7" s="8" t="s">
        <v>36</v>
      </c>
      <c r="C7" s="9" t="s">
        <v>37</v>
      </c>
      <c r="D7" s="9" t="s">
        <v>38</v>
      </c>
      <c r="E7" s="7" t="s">
        <v>39</v>
      </c>
      <c r="F7" s="7" t="n">
        <v>4</v>
      </c>
      <c r="G7" s="7" t="n">
        <v>5</v>
      </c>
      <c r="H7" s="7" t="n">
        <v>5</v>
      </c>
      <c r="I7" s="7" t="n">
        <v>5</v>
      </c>
      <c r="J7" s="10" t="n">
        <f aca="false">SUM(F7:I7)</f>
        <v>19</v>
      </c>
      <c r="K7" s="11" t="s">
        <v>40</v>
      </c>
      <c r="L7" s="7" t="s">
        <v>35</v>
      </c>
      <c r="M7" s="9"/>
    </row>
    <row r="8" customFormat="false" ht="23.85" hidden="false" customHeight="false" outlineLevel="0" collapsed="false">
      <c r="A8" s="7" t="n">
        <v>12</v>
      </c>
      <c r="B8" s="8" t="s">
        <v>41</v>
      </c>
      <c r="C8" s="9" t="s">
        <v>42</v>
      </c>
      <c r="D8" s="9" t="s">
        <v>43</v>
      </c>
      <c r="E8" s="7" t="s">
        <v>33</v>
      </c>
      <c r="F8" s="7" t="n">
        <v>4</v>
      </c>
      <c r="G8" s="7" t="n">
        <v>5</v>
      </c>
      <c r="H8" s="7" t="n">
        <v>5</v>
      </c>
      <c r="I8" s="7" t="n">
        <v>5</v>
      </c>
      <c r="J8" s="10" t="n">
        <f aca="false">SUM(F8:I8)</f>
        <v>19</v>
      </c>
      <c r="K8" s="11" t="s">
        <v>44</v>
      </c>
      <c r="L8" s="7" t="s">
        <v>35</v>
      </c>
      <c r="M8" s="9"/>
    </row>
    <row r="9" customFormat="false" ht="23.85" hidden="false" customHeight="false" outlineLevel="0" collapsed="false">
      <c r="A9" s="7" t="n">
        <v>14</v>
      </c>
      <c r="B9" s="8" t="s">
        <v>45</v>
      </c>
      <c r="C9" s="9" t="s">
        <v>46</v>
      </c>
      <c r="D9" s="9" t="s">
        <v>47</v>
      </c>
      <c r="E9" s="7" t="s">
        <v>33</v>
      </c>
      <c r="F9" s="7" t="n">
        <v>4</v>
      </c>
      <c r="G9" s="7" t="n">
        <v>5</v>
      </c>
      <c r="H9" s="7" t="n">
        <v>5</v>
      </c>
      <c r="I9" s="7" t="n">
        <v>5</v>
      </c>
      <c r="J9" s="10" t="n">
        <f aca="false">SUM(F9:I9)</f>
        <v>19</v>
      </c>
      <c r="K9" s="11" t="s">
        <v>48</v>
      </c>
      <c r="L9" s="7" t="s">
        <v>35</v>
      </c>
      <c r="M9" s="9"/>
    </row>
    <row r="10" customFormat="false" ht="23.85" hidden="false" customHeight="false" outlineLevel="0" collapsed="false">
      <c r="A10" s="7" t="n">
        <v>15</v>
      </c>
      <c r="B10" s="8" t="s">
        <v>49</v>
      </c>
      <c r="C10" s="9" t="s">
        <v>50</v>
      </c>
      <c r="D10" s="9" t="s">
        <v>51</v>
      </c>
      <c r="E10" s="7" t="s">
        <v>33</v>
      </c>
      <c r="F10" s="7" t="n">
        <v>4</v>
      </c>
      <c r="G10" s="7" t="n">
        <v>5</v>
      </c>
      <c r="H10" s="7" t="n">
        <v>5</v>
      </c>
      <c r="I10" s="7" t="n">
        <v>5</v>
      </c>
      <c r="J10" s="10" t="n">
        <f aca="false">SUM(F10:I10)</f>
        <v>19</v>
      </c>
      <c r="K10" s="11" t="s">
        <v>52</v>
      </c>
      <c r="L10" s="7" t="s">
        <v>35</v>
      </c>
      <c r="M10" s="9"/>
    </row>
    <row r="11" customFormat="false" ht="23.85" hidden="false" customHeight="false" outlineLevel="0" collapsed="false">
      <c r="A11" s="7" t="n">
        <v>16</v>
      </c>
      <c r="B11" s="8" t="s">
        <v>53</v>
      </c>
      <c r="C11" s="9" t="s">
        <v>54</v>
      </c>
      <c r="D11" s="9" t="s">
        <v>55</v>
      </c>
      <c r="E11" s="7" t="s">
        <v>33</v>
      </c>
      <c r="F11" s="7" t="n">
        <v>5</v>
      </c>
      <c r="G11" s="7" t="n">
        <v>4</v>
      </c>
      <c r="H11" s="7" t="n">
        <v>5</v>
      </c>
      <c r="I11" s="7" t="n">
        <v>5</v>
      </c>
      <c r="J11" s="10" t="n">
        <f aca="false">SUM(F11:I11)</f>
        <v>19</v>
      </c>
      <c r="K11" s="11" t="s">
        <v>56</v>
      </c>
      <c r="L11" s="7" t="s">
        <v>35</v>
      </c>
      <c r="M11" s="9"/>
    </row>
    <row r="12" customFormat="false" ht="23.85" hidden="false" customHeight="false" outlineLevel="0" collapsed="false">
      <c r="A12" s="7" t="n">
        <v>21</v>
      </c>
      <c r="B12" s="8" t="s">
        <v>57</v>
      </c>
      <c r="C12" s="9" t="s">
        <v>58</v>
      </c>
      <c r="D12" s="9" t="s">
        <v>59</v>
      </c>
      <c r="E12" s="7" t="s">
        <v>60</v>
      </c>
      <c r="F12" s="7" t="n">
        <v>4</v>
      </c>
      <c r="G12" s="7" t="n">
        <v>5</v>
      </c>
      <c r="H12" s="7" t="n">
        <v>5</v>
      </c>
      <c r="I12" s="7" t="n">
        <v>5</v>
      </c>
      <c r="J12" s="10" t="n">
        <f aca="false">SUM(F12:I12)</f>
        <v>19</v>
      </c>
      <c r="K12" s="11" t="s">
        <v>61</v>
      </c>
      <c r="L12" s="7" t="s">
        <v>62</v>
      </c>
      <c r="M12" s="9"/>
    </row>
    <row r="13" customFormat="false" ht="23.85" hidden="false" customHeight="false" outlineLevel="0" collapsed="false">
      <c r="A13" s="7" t="n">
        <v>7</v>
      </c>
      <c r="B13" s="8" t="s">
        <v>63</v>
      </c>
      <c r="C13" s="9" t="s">
        <v>64</v>
      </c>
      <c r="D13" s="9" t="s">
        <v>65</v>
      </c>
      <c r="E13" s="7" t="s">
        <v>33</v>
      </c>
      <c r="F13" s="7" t="n">
        <v>3</v>
      </c>
      <c r="G13" s="7" t="n">
        <v>5</v>
      </c>
      <c r="H13" s="7" t="n">
        <v>5</v>
      </c>
      <c r="I13" s="7" t="n">
        <v>5</v>
      </c>
      <c r="J13" s="10" t="n">
        <f aca="false">SUM(F13:I13)</f>
        <v>18</v>
      </c>
      <c r="K13" s="11" t="s">
        <v>66</v>
      </c>
      <c r="L13" s="7" t="s">
        <v>62</v>
      </c>
      <c r="M13" s="9"/>
    </row>
    <row r="14" customFormat="false" ht="23.85" hidden="false" customHeight="false" outlineLevel="0" collapsed="false">
      <c r="A14" s="7" t="n">
        <v>9</v>
      </c>
      <c r="B14" s="8" t="s">
        <v>67</v>
      </c>
      <c r="C14" s="9" t="s">
        <v>68</v>
      </c>
      <c r="D14" s="9" t="s">
        <v>69</v>
      </c>
      <c r="E14" s="7" t="s">
        <v>33</v>
      </c>
      <c r="F14" s="7" t="n">
        <v>5</v>
      </c>
      <c r="G14" s="7" t="n">
        <v>4</v>
      </c>
      <c r="H14" s="7" t="n">
        <v>4</v>
      </c>
      <c r="I14" s="7" t="n">
        <v>5</v>
      </c>
      <c r="J14" s="10" t="n">
        <f aca="false">SUM(F14:I14)</f>
        <v>18</v>
      </c>
      <c r="K14" s="11" t="s">
        <v>70</v>
      </c>
      <c r="L14" s="7" t="s">
        <v>62</v>
      </c>
      <c r="M14" s="9"/>
    </row>
    <row r="15" customFormat="false" ht="23.85" hidden="false" customHeight="false" outlineLevel="0" collapsed="false">
      <c r="A15" s="7" t="n">
        <v>10</v>
      </c>
      <c r="B15" s="8" t="s">
        <v>71</v>
      </c>
      <c r="C15" s="9" t="s">
        <v>72</v>
      </c>
      <c r="D15" s="9" t="s">
        <v>73</v>
      </c>
      <c r="E15" s="7" t="s">
        <v>33</v>
      </c>
      <c r="F15" s="7" t="n">
        <v>4</v>
      </c>
      <c r="G15" s="7" t="n">
        <v>4</v>
      </c>
      <c r="H15" s="7" t="n">
        <v>5</v>
      </c>
      <c r="I15" s="7" t="n">
        <v>5</v>
      </c>
      <c r="J15" s="10" t="n">
        <f aca="false">SUM(F15:I15)</f>
        <v>18</v>
      </c>
      <c r="K15" s="11" t="s">
        <v>74</v>
      </c>
      <c r="L15" s="7" t="s">
        <v>62</v>
      </c>
      <c r="M15" s="9"/>
    </row>
    <row r="16" customFormat="false" ht="23.85" hidden="false" customHeight="false" outlineLevel="0" collapsed="false">
      <c r="A16" s="7" t="n">
        <v>20</v>
      </c>
      <c r="B16" s="8" t="s">
        <v>75</v>
      </c>
      <c r="C16" s="9" t="s">
        <v>76</v>
      </c>
      <c r="D16" s="9" t="s">
        <v>77</v>
      </c>
      <c r="E16" s="7" t="s">
        <v>33</v>
      </c>
      <c r="F16" s="7" t="n">
        <v>4</v>
      </c>
      <c r="G16" s="7" t="n">
        <v>4</v>
      </c>
      <c r="H16" s="7" t="n">
        <v>5</v>
      </c>
      <c r="I16" s="7" t="n">
        <v>5</v>
      </c>
      <c r="J16" s="10" t="n">
        <f aca="false">SUM(F16:I16)</f>
        <v>18</v>
      </c>
      <c r="K16" s="11" t="s">
        <v>78</v>
      </c>
      <c r="L16" s="7" t="s">
        <v>62</v>
      </c>
      <c r="M16" s="9"/>
    </row>
    <row r="17" customFormat="false" ht="23.85" hidden="false" customHeight="false" outlineLevel="0" collapsed="false">
      <c r="A17" s="7" t="n">
        <v>17</v>
      </c>
      <c r="B17" s="8" t="s">
        <v>79</v>
      </c>
      <c r="C17" s="9" t="s">
        <v>80</v>
      </c>
      <c r="D17" s="9" t="s">
        <v>81</v>
      </c>
      <c r="E17" s="7" t="s">
        <v>33</v>
      </c>
      <c r="F17" s="7" t="n">
        <v>3</v>
      </c>
      <c r="G17" s="7" t="n">
        <v>3</v>
      </c>
      <c r="H17" s="7" t="n">
        <v>4</v>
      </c>
      <c r="I17" s="7" t="n">
        <v>5</v>
      </c>
      <c r="J17" s="10" t="n">
        <f aca="false">SUM(F17:I17)</f>
        <v>15</v>
      </c>
      <c r="K17" s="11" t="s">
        <v>82</v>
      </c>
      <c r="L17" s="7" t="s">
        <v>62</v>
      </c>
      <c r="M17" s="9"/>
    </row>
    <row r="18" customFormat="false" ht="23.85" hidden="false" customHeight="false" outlineLevel="0" collapsed="false">
      <c r="A18" s="7" t="n">
        <v>19</v>
      </c>
      <c r="B18" s="8" t="s">
        <v>83</v>
      </c>
      <c r="C18" s="9" t="s">
        <v>84</v>
      </c>
      <c r="D18" s="9" t="s">
        <v>85</v>
      </c>
      <c r="E18" s="7" t="s">
        <v>33</v>
      </c>
      <c r="F18" s="7" t="n">
        <v>3</v>
      </c>
      <c r="G18" s="7" t="n">
        <v>4</v>
      </c>
      <c r="H18" s="7" t="n">
        <v>4</v>
      </c>
      <c r="I18" s="7" t="n">
        <v>4</v>
      </c>
      <c r="J18" s="10" t="n">
        <f aca="false">SUM(F18:I18)</f>
        <v>15</v>
      </c>
      <c r="K18" s="11" t="s">
        <v>86</v>
      </c>
      <c r="L18" s="7" t="s">
        <v>87</v>
      </c>
      <c r="M18" s="9"/>
    </row>
    <row r="19" customFormat="false" ht="23.85" hidden="false" customHeight="false" outlineLevel="0" collapsed="false">
      <c r="A19" s="7" t="n">
        <v>8</v>
      </c>
      <c r="B19" s="8" t="s">
        <v>88</v>
      </c>
      <c r="C19" s="9" t="s">
        <v>89</v>
      </c>
      <c r="D19" s="9" t="s">
        <v>90</v>
      </c>
      <c r="E19" s="7" t="s">
        <v>33</v>
      </c>
      <c r="F19" s="7" t="n">
        <v>5</v>
      </c>
      <c r="G19" s="7" t="n">
        <v>3</v>
      </c>
      <c r="H19" s="7" t="n">
        <v>3</v>
      </c>
      <c r="I19" s="7" t="n">
        <v>3</v>
      </c>
      <c r="J19" s="10" t="n">
        <f aca="false">SUM(F19:I19)</f>
        <v>14</v>
      </c>
      <c r="K19" s="11" t="s">
        <v>91</v>
      </c>
      <c r="L19" s="7" t="s">
        <v>87</v>
      </c>
      <c r="M19" s="9"/>
    </row>
    <row r="20" customFormat="false" ht="23.85" hidden="false" customHeight="false" outlineLevel="0" collapsed="false">
      <c r="A20" s="7" t="n">
        <v>11</v>
      </c>
      <c r="B20" s="8" t="s">
        <v>92</v>
      </c>
      <c r="C20" s="9" t="s">
        <v>93</v>
      </c>
      <c r="D20" s="9" t="s">
        <v>94</v>
      </c>
      <c r="E20" s="7" t="s">
        <v>33</v>
      </c>
      <c r="F20" s="7" t="n">
        <v>2</v>
      </c>
      <c r="G20" s="7" t="n">
        <v>4</v>
      </c>
      <c r="H20" s="7" t="n">
        <v>4</v>
      </c>
      <c r="I20" s="7" t="n">
        <v>4</v>
      </c>
      <c r="J20" s="10" t="n">
        <f aca="false">SUM(F20:I20)</f>
        <v>14</v>
      </c>
      <c r="K20" s="11" t="s">
        <v>95</v>
      </c>
      <c r="L20" s="7" t="s">
        <v>87</v>
      </c>
      <c r="M20" s="9"/>
    </row>
    <row r="21" customFormat="false" ht="23.85" hidden="false" customHeight="false" outlineLevel="0" collapsed="false">
      <c r="A21" s="7" t="n">
        <v>18</v>
      </c>
      <c r="B21" s="8" t="s">
        <v>96</v>
      </c>
      <c r="C21" s="9" t="s">
        <v>97</v>
      </c>
      <c r="D21" s="9" t="s">
        <v>98</v>
      </c>
      <c r="E21" s="7" t="s">
        <v>33</v>
      </c>
      <c r="F21" s="7" t="n">
        <v>2</v>
      </c>
      <c r="G21" s="7" t="n">
        <v>3</v>
      </c>
      <c r="H21" s="7" t="n">
        <v>5</v>
      </c>
      <c r="I21" s="7" t="n">
        <v>4</v>
      </c>
      <c r="J21" s="10" t="n">
        <f aca="false">SUM(F21:I21)</f>
        <v>14</v>
      </c>
      <c r="K21" s="11" t="s">
        <v>99</v>
      </c>
      <c r="L21" s="7" t="s">
        <v>87</v>
      </c>
      <c r="M21" s="9"/>
    </row>
    <row r="22" customFormat="false" ht="23.85" hidden="false" customHeight="false" outlineLevel="0" collapsed="false">
      <c r="A22" s="7" t="n">
        <v>6</v>
      </c>
      <c r="B22" s="8" t="s">
        <v>100</v>
      </c>
      <c r="C22" s="9" t="s">
        <v>101</v>
      </c>
      <c r="D22" s="9" t="s">
        <v>102</v>
      </c>
      <c r="E22" s="7" t="s">
        <v>33</v>
      </c>
      <c r="F22" s="7" t="n">
        <v>2</v>
      </c>
      <c r="G22" s="7" t="n">
        <v>4</v>
      </c>
      <c r="H22" s="7" t="n">
        <v>3</v>
      </c>
      <c r="I22" s="7" t="n">
        <v>4</v>
      </c>
      <c r="J22" s="10" t="n">
        <f aca="false">SUM(F22:I22)</f>
        <v>13</v>
      </c>
      <c r="K22" s="11" t="s">
        <v>103</v>
      </c>
      <c r="L22" s="7" t="s">
        <v>87</v>
      </c>
      <c r="M22" s="9"/>
    </row>
  </sheetData>
  <conditionalFormatting sqref="F2:I22">
    <cfRule type="colorScale" priority="2">
      <colorScale>
        <cfvo type="num" val="1"/>
        <cfvo type="num" val="3"/>
        <cfvo type="num" val="5"/>
        <color rgb="FFF4B7A4"/>
        <color rgb="FFFFEFB5"/>
        <color rgb="FFB5E7A0"/>
      </colorScale>
    </cfRule>
  </conditionalFormatting>
  <conditionalFormatting sqref="J2:J22">
    <cfRule type="colorScale" priority="3">
      <colorScale>
        <cfvo type="num" val="8"/>
        <cfvo type="num" val="14"/>
        <cfvo type="num" val="20"/>
        <color rgb="FFF4B7A4"/>
        <color rgb="FFFFEFB5"/>
        <color rgb="FF7BC5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2" t="s">
        <v>104</v>
      </c>
      <c r="B1" s="13" t="s">
        <v>105</v>
      </c>
    </row>
    <row r="2" customFormat="false" ht="15" hidden="false" customHeight="false" outlineLevel="0" collapsed="false">
      <c r="A2" s="14"/>
      <c r="B2" s="13"/>
    </row>
    <row r="3" customFormat="false" ht="15" hidden="false" customHeight="false" outlineLevel="0" collapsed="false">
      <c r="A3" s="12" t="s">
        <v>106</v>
      </c>
      <c r="B3" s="13" t="s">
        <v>107</v>
      </c>
    </row>
    <row r="4" customFormat="false" ht="15" hidden="false" customHeight="false" outlineLevel="0" collapsed="false">
      <c r="A4" s="14" t="s">
        <v>5</v>
      </c>
      <c r="B4" s="13" t="s">
        <v>108</v>
      </c>
    </row>
    <row r="5" customFormat="false" ht="15" hidden="false" customHeight="false" outlineLevel="0" collapsed="false">
      <c r="A5" s="14" t="s">
        <v>6</v>
      </c>
      <c r="B5" s="13" t="s">
        <v>109</v>
      </c>
    </row>
    <row r="6" customFormat="false" ht="15" hidden="false" customHeight="false" outlineLevel="0" collapsed="false">
      <c r="A6" s="14" t="s">
        <v>7</v>
      </c>
      <c r="B6" s="13" t="s">
        <v>110</v>
      </c>
    </row>
    <row r="7" customFormat="false" ht="26.85" hidden="false" customHeight="false" outlineLevel="0" collapsed="false">
      <c r="A7" s="14" t="s">
        <v>8</v>
      </c>
      <c r="B7" s="13" t="s">
        <v>111</v>
      </c>
    </row>
    <row r="8" customFormat="false" ht="15" hidden="false" customHeight="false" outlineLevel="0" collapsed="false">
      <c r="A8" s="14" t="s">
        <v>9</v>
      </c>
      <c r="B8" s="13" t="s">
        <v>112</v>
      </c>
    </row>
    <row r="9" customFormat="false" ht="26.85" hidden="false" customHeight="false" outlineLevel="0" collapsed="false">
      <c r="A9" s="14" t="s">
        <v>4</v>
      </c>
      <c r="B9" s="13" t="s">
        <v>113</v>
      </c>
    </row>
    <row r="10" customFormat="false" ht="26.85" hidden="false" customHeight="false" outlineLevel="0" collapsed="false">
      <c r="A10" s="14" t="s">
        <v>11</v>
      </c>
      <c r="B10" s="13" t="s">
        <v>114</v>
      </c>
    </row>
    <row r="11" customFormat="false" ht="15" hidden="false" customHeight="false" outlineLevel="0" collapsed="false">
      <c r="A11" s="14" t="s">
        <v>115</v>
      </c>
      <c r="B11" s="13" t="s">
        <v>116</v>
      </c>
    </row>
    <row r="12" customFormat="false" ht="15" hidden="false" customHeight="false" outlineLevel="0" collapsed="false">
      <c r="A12" s="14"/>
      <c r="B12" s="13"/>
    </row>
    <row r="13" customFormat="false" ht="15" hidden="false" customHeight="false" outlineLevel="0" collapsed="false">
      <c r="A13" s="14" t="s">
        <v>117</v>
      </c>
      <c r="B13" s="1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2026-05-12T21:54:29Z</dcterms:created>
  <dc:creator>openpyxl</dc:creator>
  <dc:description/>
  <dc:language>en-US</dc:language>
  <cp:lastModifiedBy/>
  <dcterms:modified xsi:type="dcterms:W3CDTF">2026-05-12T21:54:29Z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