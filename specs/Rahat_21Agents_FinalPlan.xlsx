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s" sheetId="1" state="visible" r:id="rId3"/>
    <sheet name="Final Pl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<sst xmlns="http://schemas.openxmlformats.org/spreadsheetml/2006/main" count="192" uniqueCount="137">
  <si>
    <t xml:space="preserve">#</t>
  </si>
  <si>
    <t xml:space="preserve">Agent</t>
  </si>
  <si>
    <t xml:space="preserve">Named after</t>
  </si>
  <si>
    <t xml:space="preserve">Domain</t>
  </si>
  <si>
    <t xml:space="preserve">Status</t>
  </si>
  <si>
    <t xml:space="preserve">R</t>
  </si>
  <si>
    <t xml:space="preserve">I</t>
  </si>
  <si>
    <t xml:space="preserve">P</t>
  </si>
  <si>
    <t xml:space="preserve">F</t>
  </si>
  <si>
    <t xml:space="preserve">Σ</t>
  </si>
  <si>
    <t xml:space="preserve">Your call</t>
  </si>
  <si>
    <t xml:space="preserve">Final Phase</t>
  </si>
  <si>
    <t xml:space="preserve">Notes / build trigger</t>
  </si>
  <si>
    <t xml:space="preserve">The Miya</t>
  </si>
  <si>
    <t xml:space="preserve">Dakhini-Urdu honorific</t>
  </si>
  <si>
    <t xml:space="preserve">Orchestrator</t>
  </si>
  <si>
    <t xml:space="preserve">Live</t>
  </si>
  <si>
    <t xml:space="preserve">Now</t>
  </si>
  <si>
    <t xml:space="preserve">Infrastructure. Already shipped.</t>
  </si>
  <si>
    <t xml:space="preserve">The Charter</t>
  </si>
  <si>
    <t xml:space="preserve">Infrastructure</t>
  </si>
  <si>
    <t xml:space="preserve">Policy plane</t>
  </si>
  <si>
    <t xml:space="preserve">Chokepoint. Already shipped.</t>
  </si>
  <si>
    <t xml:space="preserve">Fraser</t>
  </si>
  <si>
    <t xml:space="preserve">Matt Fraser</t>
  </si>
  <si>
    <t xml:space="preserve">CrossFit programming</t>
  </si>
  <si>
    <t xml:space="preserve">Niche but loud — keep as-is.</t>
  </si>
  <si>
    <t xml:space="preserve">Kobe</t>
  </si>
  <si>
    <t xml:space="preserve">Kobe Bryant</t>
  </si>
  <si>
    <t xml:space="preserve">Vitality / training trajectory</t>
  </si>
  <si>
    <t xml:space="preserve">Rebrand (1A)</t>
  </si>
  <si>
    <t xml:space="preserve">Live agent — Day-1/2 rebrand from Scientist. No behavioral change.</t>
  </si>
  <si>
    <t xml:space="preserve">Genie</t>
  </si>
  <si>
    <t xml:space="preserve">Aladdin's Genie</t>
  </si>
  <si>
    <t xml:space="preserve">Weekend family composer</t>
  </si>
  <si>
    <t xml:space="preserve">New</t>
  </si>
  <si>
    <t xml:space="preserve">Phase 1A</t>
  </si>
  <si>
    <t xml:space="preserve">Σ20 highest. Universal family rhythm. Spouse's first ask.</t>
  </si>
  <si>
    <t xml:space="preserve">Huberman</t>
  </si>
  <si>
    <t xml:space="preserve">Andrew Huberman</t>
  </si>
  <si>
    <t xml:space="preserve">Recovery / HRV / safety</t>
  </si>
  <si>
    <t xml:space="preserve">Stub</t>
  </si>
  <si>
    <t xml:space="preserve">Rebrand from Bajrangi + promote stub to first-class. Days of work.</t>
  </si>
  <si>
    <t xml:space="preserve">Disney</t>
  </si>
  <si>
    <t xml:space="preserve">Walt Disney</t>
  </si>
  <si>
    <t xml:space="preserve">Weekend kids composer</t>
  </si>
  <si>
    <t xml:space="preserve">The screenshot agent of the year.</t>
  </si>
  <si>
    <t xml:space="preserve">Santa</t>
  </si>
  <si>
    <t xml:space="preserve">Santa Claus</t>
  </si>
  <si>
    <t xml:space="preserve">Gift conductor</t>
  </si>
  <si>
    <t xml:space="preserve">Σ19. Promoted to Now per agreement — gift moments are monthly, virality is unmatched.</t>
  </si>
  <si>
    <t xml:space="preserve">Montessori</t>
  </si>
  <si>
    <t xml:space="preserve">Maria Montessori</t>
  </si>
  <si>
    <t xml:space="preserve">Toddler + newborn</t>
  </si>
  <si>
    <t xml:space="preserve">Multi-subject. Toddler + newborn — your lived reality.</t>
  </si>
  <si>
    <t xml:space="preserve">Ramsay</t>
  </si>
  <si>
    <t xml:space="preserve">Gordon Ramsay</t>
  </si>
  <si>
    <t xml:space="preserve">Cooking + dietary audit</t>
  </si>
  <si>
    <t xml:space="preserve">Vision-based meal audit. Daily-utility, family-aware.</t>
  </si>
  <si>
    <t xml:space="preserve">Mocha</t>
  </si>
  <si>
    <t xml:space="preserve">Yemeni port-of-coffee</t>
  </si>
  <si>
    <t xml:space="preserve">Coffee shop curator</t>
  </si>
  <si>
    <t xml:space="preserve">Starts the palate-graph clock. Daily personal-utility.</t>
  </si>
  <si>
    <t xml:space="preserve">Sherlock</t>
  </si>
  <si>
    <t xml:space="preserve">Sherlock Holmes</t>
  </si>
  <si>
    <t xml:space="preserve">Local treasure finder</t>
  </si>
  <si>
    <t xml:space="preserve">Phase 1B</t>
  </si>
  <si>
    <t xml:space="preserve">Cross-cutting curator — needs ≥3 other lifestyle agents to investigate against. Ship 1B.</t>
  </si>
  <si>
    <t xml:space="preserve">Luwak</t>
  </si>
  <si>
    <t xml:space="preserve">Asian palm civet</t>
  </si>
  <si>
    <t xml:space="preserve">Coffee beans orderer</t>
  </si>
  <si>
    <t xml:space="preserve">Gated on Mocha having ~4 wks of palate signal. Ship 1B.</t>
  </si>
  <si>
    <t xml:space="preserve">Antoinette</t>
  </si>
  <si>
    <t xml:space="preserve">Marie Antoinette</t>
  </si>
  <si>
    <t xml:space="preserve">Pastry / sweet-spot curator</t>
  </si>
  <si>
    <t xml:space="preserve">Same palate-graph dependency. Pairs with Mocha + Luwak.</t>
  </si>
  <si>
    <t xml:space="preserve">Polo</t>
  </si>
  <si>
    <t xml:space="preserve">Marco Polo</t>
  </si>
  <si>
    <t xml:space="preserve">Pre-trip planner</t>
  </si>
  <si>
    <t xml:space="preserve">Soon</t>
  </si>
  <si>
    <t xml:space="preserve">Soon (T-30d)</t>
  </si>
  <si>
    <t xml:space="preserve">Trigger ship ≈30 days before Tokyo (T-120 today → ship Phase 1B → Soon window).</t>
  </si>
  <si>
    <t xml:space="preserve">Bourdain</t>
  </si>
  <si>
    <t xml:space="preserve">Anthony Bourdain</t>
  </si>
  <si>
    <t xml:space="preserve">In-trip concierge</t>
  </si>
  <si>
    <t xml:space="preserve">Soon (T-14d)</t>
  </si>
  <si>
    <t xml:space="preserve">Pair with Polo. Trigger ship ≈14 days before Tokyo.</t>
  </si>
  <si>
    <t xml:space="preserve">Casanova</t>
  </si>
  <si>
    <t xml:space="preserve">Giacomo Casanova</t>
  </si>
  <si>
    <t xml:space="preserve">Date night composer</t>
  </si>
  <si>
    <t xml:space="preserve">Held</t>
  </si>
  <si>
    <t xml:space="preserve">Soon (data-gated)</t>
  </si>
  <si>
    <t xml:space="preserve">Unlocks once Mocha + Ramsay + Bourdain have ~3 mo of taste data.</t>
  </si>
  <si>
    <t xml:space="preserve">Ramu Kaka</t>
  </si>
  <si>
    <t xml:space="preserve">Bollywood household helper</t>
  </si>
  <si>
    <t xml:space="preserve">Pantry + grocery</t>
  </si>
  <si>
    <t xml:space="preserve">Later</t>
  </si>
  <si>
    <t xml:space="preserve">Universal but you have the flow handled. Promote when household pain re-surfaces.</t>
  </si>
  <si>
    <t xml:space="preserve">Buffett</t>
  </si>
  <si>
    <t xml:space="preserve">Warren Buffett</t>
  </si>
  <si>
    <t xml:space="preserve">Calendar + scheduling</t>
  </si>
  <si>
    <t xml:space="preserve">Commodity surface — Reclaim/Clockwise own this. Build only as Charter-aware household layer.</t>
  </si>
  <si>
    <t xml:space="preserve">La Marzocco</t>
  </si>
  <si>
    <t xml:space="preserve">Italian espresso machine</t>
  </si>
  <si>
    <t xml:space="preserve">Espresso ritual</t>
  </si>
  <si>
    <t xml:space="preserve">Roll into Mocha as a feature unless dedicated users justify it.</t>
  </si>
  <si>
    <t xml:space="preserve">Ustad</t>
  </si>
  <si>
    <t xml:space="preserve">Urdu master</t>
  </si>
  <si>
    <t xml:space="preserve">Guitar audit + practice</t>
  </si>
  <si>
    <t xml:space="preserve">Personal-passion. Build after the mesh is dense.</t>
  </si>
  <si>
    <t xml:space="preserve">Rahat — Final Shipping Plan</t>
  </si>
  <si>
    <t xml:space="preserve">21-agent mesh, phased and gated. Replaces all prior priority lists.</t>
  </si>
  <si>
    <t xml:space="preserve">Phase</t>
  </si>
  <si>
    <t xml:space="preserve">Meaning · When to build</t>
  </si>
  <si>
    <t xml:space="preserve">Already shipped. Miya, Charter, Fraser. Don't touch.</t>
  </si>
  <si>
    <t xml:space="preserve">Kobe rebrand — Day 1–2 ticket. No behavioral change. Parallel with Huberman.</t>
  </si>
  <si>
    <t xml:space="preserve">Phase 1A — Months 1–2</t>
  </si>
  <si>
    <t xml:space="preserve">Daily drivers + Huberman rebrand + the LinkedIn-screenshot agent (Santa). 7 new agents + 2 rebrands = the launch.</t>
  </si>
  <si>
    <t xml:space="preserve">Phase 1B — Months 2–3</t>
  </si>
  <si>
    <t xml:space="preserve">Taste-cluster agents — gated on Mocha having ~4 wks of palate signal. Luwak, Antoinette, Sherlock ship together.</t>
  </si>
  <si>
    <t xml:space="preserve">Soon (T-30d / T-14d)</t>
  </si>
  <si>
    <t xml:space="preserve">Travel pair — Polo lands 30 days before Tokyo, Bourdain lands 14 days before. Tokyo is +120 days today.</t>
  </si>
  <si>
    <t xml:space="preserve">Casanova unlocks when Mocha + Ramsay + Bourdain have ~3 months of taste data — ~month 5.</t>
  </si>
  <si>
    <t xml:space="preserve">Ramu Kaka, Buffett, La Marzocco, Ustad. Re-evaluate quarterly.</t>
  </si>
  <si>
    <t xml:space="preserve">Key changes from your pass:</t>
  </si>
  <si>
    <t xml:space="preserve">→ Now (Phase 1A). Per your call. Highest-virality agent in the deck.</t>
  </si>
  <si>
    <t xml:space="preserve">Luwak / Antoinette / Sherlock</t>
  </si>
  <si>
    <t xml:space="preserve">→ Now/Phase 1B (not 1A). Architectural — they parasitize Mocha's palate data; ship them ~4 wks after Mocha.</t>
  </si>
  <si>
    <t xml:space="preserve">Polo / Bourdain</t>
  </si>
  <si>
    <t xml:space="preserve">→ Soon, trigger-dated to Tokyo (T-30 / T-14). No reason to rush at +120 days with a newborn.</t>
  </si>
  <si>
    <t xml:space="preserve">Action this week:</t>
  </si>
  <si>
    <t xml:space="preserve">1.</t>
  </si>
  <si>
    <t xml:space="preserve">Tell the architect: Kobe + Huberman rebrand. 2-day ticket. Spec in chat.</t>
  </si>
  <si>
    <t xml:space="preserve">2.</t>
  </si>
  <si>
    <t xml:space="preserve">Open Phase 1A as a milestone: Genie, Disney, Montessori, Ramsay, Mocha, Santa.</t>
  </si>
  <si>
    <t xml:space="preserve">3.</t>
  </si>
  <si>
    <t xml:space="preserve">Set a calendar reminder for T-45 days before Tokyo — that's when Polo development kicks off.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</si>
</sst>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8B4513"/>
        <bgColor rgb="FF993366"/>
      </patternFill>
    </fill>
    <fill>
      <patternFill patternType="solid">
        <fgColor rgb="FFD7CCC8"/>
        <bgColor rgb="FFCCCCFF"/>
      </patternFill>
    </fill>
    <fill>
      <patternFill patternType="solid">
        <fgColor rgb="FFC8E6C9"/>
        <bgColor rgb="FFD7CCC8"/>
      </patternFill>
    </fill>
    <fill>
      <patternFill patternType="solid">
        <fgColor rgb="FFFFF59D"/>
        <bgColor rgb="FFEEEEEE"/>
      </patternFill>
    </fill>
    <fill>
      <patternFill patternType="solid">
        <fgColor rgb="FFFFCCBC"/>
        <bgColor rgb="FFD7CCC8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A88A"/>
      </left>
      <right style="thin">
        <color rgb="FFC0A88A"/>
      </right>
      <top style="thin">
        <color rgb="FFC0A88A"/>
      </top>
      <bottom style="thin">
        <color rgb="FFC0A8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CC8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CCBC"/>
      <rgbColor rgb="FF3366FF"/>
      <rgbColor rgb="FF33CCCC"/>
      <rgbColor rgb="FF99CC00"/>
      <rgbColor rgb="FFFFCC00"/>
      <rgbColor rgb="FFFF9900"/>
      <rgbColor rgb="FFFF6600"/>
      <rgbColor rgb="FF666699"/>
      <rgbColor rgb="FFC0A88A"/>
      <rgbColor rgb="FF003366"/>
      <rgbColor rgb="FF339966"/>
      <rgbColor rgb="FF003300"/>
      <rgbColor rgb="FF333300"/>
      <rgbColor rgb="FF8B4513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10" min="6" style="0" width="5"/>
    <col collapsed="false" customWidth="true" hidden="false" outlineLevel="0" max="11" min="11" style="0" width="11"/>
    <col collapsed="false" customWidth="true" hidden="false" outlineLevel="0" max="12" min="12" style="0" width="17"/>
    <col collapsed="false" customWidth="true" hidden="false" outlineLevel="0" max="13" min="13" style="0" width="58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3" t="s">
        <v>13</v>
      </c>
      <c r="C2" s="4" t="s">
        <v>14</v>
      </c>
      <c r="D2" s="4" t="s">
        <v>15</v>
      </c>
      <c r="E2" s="2" t="s">
        <v>16</v>
      </c>
      <c r="F2" s="2" t="n">
        <v>5</v>
      </c>
      <c r="G2" s="2" t="n">
        <v>5</v>
      </c>
      <c r="H2" s="2" t="n">
        <v>3</v>
      </c>
      <c r="I2" s="2" t="n">
        <v>5</v>
      </c>
      <c r="J2" s="5" t="n">
        <f aca="false">SUM(F2:I2)</f>
        <v>18</v>
      </c>
      <c r="K2" s="2" t="s">
        <v>17</v>
      </c>
      <c r="L2" s="6" t="s">
        <v>16</v>
      </c>
      <c r="M2" s="7" t="s">
        <v>18</v>
      </c>
    </row>
    <row r="3" customFormat="false" ht="15" hidden="false" customHeight="false" outlineLevel="0" collapsed="false">
      <c r="A3" s="2" t="n">
        <v>2</v>
      </c>
      <c r="B3" s="3" t="s">
        <v>19</v>
      </c>
      <c r="C3" s="4" t="s">
        <v>20</v>
      </c>
      <c r="D3" s="4" t="s">
        <v>21</v>
      </c>
      <c r="E3" s="2" t="s">
        <v>16</v>
      </c>
      <c r="F3" s="2" t="n">
        <v>5</v>
      </c>
      <c r="G3" s="2" t="n">
        <v>5</v>
      </c>
      <c r="H3" s="2" t="n">
        <v>2</v>
      </c>
      <c r="I3" s="2" t="n">
        <v>5</v>
      </c>
      <c r="J3" s="5" t="n">
        <f aca="false">SUM(F3:I3)</f>
        <v>17</v>
      </c>
      <c r="K3" s="2" t="s">
        <v>17</v>
      </c>
      <c r="L3" s="6" t="s">
        <v>16</v>
      </c>
      <c r="M3" s="7" t="s">
        <v>22</v>
      </c>
    </row>
    <row r="4" customFormat="false" ht="15" hidden="false" customHeight="false" outlineLevel="0" collapsed="false">
      <c r="A4" s="2" t="n">
        <v>3</v>
      </c>
      <c r="B4" s="3" t="s">
        <v>23</v>
      </c>
      <c r="C4" s="4" t="s">
        <v>24</v>
      </c>
      <c r="D4" s="4" t="s">
        <v>25</v>
      </c>
      <c r="E4" s="2" t="s">
        <v>16</v>
      </c>
      <c r="F4" s="2" t="n">
        <v>2</v>
      </c>
      <c r="G4" s="2" t="n">
        <v>5</v>
      </c>
      <c r="H4" s="2" t="n">
        <v>3</v>
      </c>
      <c r="I4" s="2" t="n">
        <v>5</v>
      </c>
      <c r="J4" s="5" t="n">
        <f aca="false">SUM(F4:I4)</f>
        <v>15</v>
      </c>
      <c r="K4" s="2" t="s">
        <v>17</v>
      </c>
      <c r="L4" s="6" t="s">
        <v>16</v>
      </c>
      <c r="M4" s="7" t="s">
        <v>26</v>
      </c>
    </row>
    <row r="5" customFormat="false" ht="15" hidden="false" customHeight="false" outlineLevel="0" collapsed="false">
      <c r="A5" s="2" t="n">
        <v>4</v>
      </c>
      <c r="B5" s="3" t="s">
        <v>27</v>
      </c>
      <c r="C5" s="4" t="s">
        <v>28</v>
      </c>
      <c r="D5" s="4" t="s">
        <v>29</v>
      </c>
      <c r="E5" s="2" t="s">
        <v>16</v>
      </c>
      <c r="F5" s="2" t="n">
        <v>3</v>
      </c>
      <c r="G5" s="2" t="n">
        <v>5</v>
      </c>
      <c r="H5" s="2" t="n">
        <v>4</v>
      </c>
      <c r="I5" s="2" t="n">
        <v>5</v>
      </c>
      <c r="J5" s="5" t="n">
        <f aca="false">SUM(F5:I5)</f>
        <v>17</v>
      </c>
      <c r="K5" s="2" t="s">
        <v>17</v>
      </c>
      <c r="L5" s="8" t="s">
        <v>30</v>
      </c>
      <c r="M5" s="7" t="s">
        <v>31</v>
      </c>
    </row>
    <row r="6" customFormat="false" ht="15" hidden="false" customHeight="false" outlineLevel="0" collapsed="false">
      <c r="A6" s="2" t="n">
        <v>5</v>
      </c>
      <c r="B6" s="3" t="s">
        <v>32</v>
      </c>
      <c r="C6" s="4" t="s">
        <v>33</v>
      </c>
      <c r="D6" s="4" t="s">
        <v>34</v>
      </c>
      <c r="E6" s="2" t="s">
        <v>35</v>
      </c>
      <c r="F6" s="2" t="n">
        <v>5</v>
      </c>
      <c r="G6" s="2" t="n">
        <v>5</v>
      </c>
      <c r="H6" s="2" t="n">
        <v>5</v>
      </c>
      <c r="I6" s="2" t="n">
        <v>5</v>
      </c>
      <c r="J6" s="5" t="n">
        <f aca="false">SUM(F6:I6)</f>
        <v>20</v>
      </c>
      <c r="K6" s="2" t="s">
        <v>17</v>
      </c>
      <c r="L6" s="8" t="s">
        <v>36</v>
      </c>
      <c r="M6" s="7" t="s">
        <v>37</v>
      </c>
    </row>
    <row r="7" customFormat="false" ht="15" hidden="false" customHeight="false" outlineLevel="0" collapsed="false">
      <c r="A7" s="2" t="n">
        <v>6</v>
      </c>
      <c r="B7" s="3" t="s">
        <v>38</v>
      </c>
      <c r="C7" s="4" t="s">
        <v>39</v>
      </c>
      <c r="D7" s="4" t="s">
        <v>40</v>
      </c>
      <c r="E7" s="2" t="s">
        <v>41</v>
      </c>
      <c r="F7" s="2" t="n">
        <v>4</v>
      </c>
      <c r="G7" s="2" t="n">
        <v>5</v>
      </c>
      <c r="H7" s="2" t="n">
        <v>5</v>
      </c>
      <c r="I7" s="2" t="n">
        <v>5</v>
      </c>
      <c r="J7" s="5" t="n">
        <f aca="false">SUM(F7:I7)</f>
        <v>19</v>
      </c>
      <c r="K7" s="2" t="s">
        <v>17</v>
      </c>
      <c r="L7" s="8" t="s">
        <v>36</v>
      </c>
      <c r="M7" s="7" t="s">
        <v>42</v>
      </c>
    </row>
    <row r="8" customFormat="false" ht="15" hidden="false" customHeight="false" outlineLevel="0" collapsed="false">
      <c r="A8" s="2" t="n">
        <v>7</v>
      </c>
      <c r="B8" s="3" t="s">
        <v>43</v>
      </c>
      <c r="C8" s="4" t="s">
        <v>44</v>
      </c>
      <c r="D8" s="4" t="s">
        <v>45</v>
      </c>
      <c r="E8" s="2" t="s">
        <v>35</v>
      </c>
      <c r="F8" s="2" t="n">
        <v>4</v>
      </c>
      <c r="G8" s="2" t="n">
        <v>5</v>
      </c>
      <c r="H8" s="2" t="n">
        <v>5</v>
      </c>
      <c r="I8" s="2" t="n">
        <v>5</v>
      </c>
      <c r="J8" s="5" t="n">
        <f aca="false">SUM(F8:I8)</f>
        <v>19</v>
      </c>
      <c r="K8" s="2" t="s">
        <v>17</v>
      </c>
      <c r="L8" s="8" t="s">
        <v>36</v>
      </c>
      <c r="M8" s="7" t="s">
        <v>46</v>
      </c>
    </row>
    <row r="9" customFormat="false" ht="23.85" hidden="false" customHeight="false" outlineLevel="0" collapsed="false">
      <c r="A9" s="2" t="n">
        <v>8</v>
      </c>
      <c r="B9" s="3" t="s">
        <v>47</v>
      </c>
      <c r="C9" s="4" t="s">
        <v>48</v>
      </c>
      <c r="D9" s="4" t="s">
        <v>49</v>
      </c>
      <c r="E9" s="2" t="s">
        <v>35</v>
      </c>
      <c r="F9" s="2" t="n">
        <v>5</v>
      </c>
      <c r="G9" s="2" t="n">
        <v>4</v>
      </c>
      <c r="H9" s="2" t="n">
        <v>5</v>
      </c>
      <c r="I9" s="2" t="n">
        <v>5</v>
      </c>
      <c r="J9" s="5" t="n">
        <f aca="false">SUM(F9:I9)</f>
        <v>19</v>
      </c>
      <c r="K9" s="2" t="s">
        <v>17</v>
      </c>
      <c r="L9" s="8" t="s">
        <v>36</v>
      </c>
      <c r="M9" s="7" t="s">
        <v>50</v>
      </c>
    </row>
    <row r="10" customFormat="false" ht="15" hidden="false" customHeight="false" outlineLevel="0" collapsed="false">
      <c r="A10" s="2" t="n">
        <v>9</v>
      </c>
      <c r="B10" s="3" t="s">
        <v>51</v>
      </c>
      <c r="C10" s="4" t="s">
        <v>52</v>
      </c>
      <c r="D10" s="4" t="s">
        <v>53</v>
      </c>
      <c r="E10" s="2" t="s">
        <v>35</v>
      </c>
      <c r="F10" s="2" t="n">
        <v>3</v>
      </c>
      <c r="G10" s="2" t="n">
        <v>5</v>
      </c>
      <c r="H10" s="2" t="n">
        <v>5</v>
      </c>
      <c r="I10" s="2" t="n">
        <v>5</v>
      </c>
      <c r="J10" s="5" t="n">
        <f aca="false">SUM(F10:I10)</f>
        <v>18</v>
      </c>
      <c r="K10" s="2" t="s">
        <v>17</v>
      </c>
      <c r="L10" s="8" t="s">
        <v>36</v>
      </c>
      <c r="M10" s="7" t="s">
        <v>54</v>
      </c>
    </row>
    <row r="11" customFormat="false" ht="15" hidden="false" customHeight="false" outlineLevel="0" collapsed="false">
      <c r="A11" s="2" t="n">
        <v>10</v>
      </c>
      <c r="B11" s="3" t="s">
        <v>55</v>
      </c>
      <c r="C11" s="4" t="s">
        <v>56</v>
      </c>
      <c r="D11" s="4" t="s">
        <v>57</v>
      </c>
      <c r="E11" s="2" t="s">
        <v>35</v>
      </c>
      <c r="F11" s="2" t="n">
        <v>4</v>
      </c>
      <c r="G11" s="2" t="n">
        <v>4</v>
      </c>
      <c r="H11" s="2" t="n">
        <v>5</v>
      </c>
      <c r="I11" s="2" t="n">
        <v>5</v>
      </c>
      <c r="J11" s="5" t="n">
        <f aca="false">SUM(F11:I11)</f>
        <v>18</v>
      </c>
      <c r="K11" s="2" t="s">
        <v>17</v>
      </c>
      <c r="L11" s="8" t="s">
        <v>36</v>
      </c>
      <c r="M11" s="7" t="s">
        <v>58</v>
      </c>
    </row>
    <row r="12" customFormat="false" ht="15" hidden="false" customHeight="false" outlineLevel="0" collapsed="false">
      <c r="A12" s="2" t="n">
        <v>11</v>
      </c>
      <c r="B12" s="3" t="s">
        <v>59</v>
      </c>
      <c r="C12" s="4" t="s">
        <v>60</v>
      </c>
      <c r="D12" s="4" t="s">
        <v>61</v>
      </c>
      <c r="E12" s="2" t="s">
        <v>35</v>
      </c>
      <c r="F12" s="2" t="n">
        <v>3</v>
      </c>
      <c r="G12" s="2" t="n">
        <v>3</v>
      </c>
      <c r="H12" s="2" t="n">
        <v>4</v>
      </c>
      <c r="I12" s="2" t="n">
        <v>5</v>
      </c>
      <c r="J12" s="5" t="n">
        <f aca="false">SUM(F12:I12)</f>
        <v>15</v>
      </c>
      <c r="K12" s="2" t="s">
        <v>17</v>
      </c>
      <c r="L12" s="8" t="s">
        <v>36</v>
      </c>
      <c r="M12" s="7" t="s">
        <v>62</v>
      </c>
    </row>
    <row r="13" customFormat="false" ht="23.85" hidden="false" customHeight="false" outlineLevel="0" collapsed="false">
      <c r="A13" s="2" t="n">
        <v>12</v>
      </c>
      <c r="B13" s="3" t="s">
        <v>63</v>
      </c>
      <c r="C13" s="4" t="s">
        <v>64</v>
      </c>
      <c r="D13" s="4" t="s">
        <v>65</v>
      </c>
      <c r="E13" s="2" t="s">
        <v>35</v>
      </c>
      <c r="F13" s="2" t="n">
        <v>4</v>
      </c>
      <c r="G13" s="2" t="n">
        <v>4</v>
      </c>
      <c r="H13" s="2" t="n">
        <v>5</v>
      </c>
      <c r="I13" s="2" t="n">
        <v>5</v>
      </c>
      <c r="J13" s="5" t="n">
        <f aca="false">SUM(F13:I13)</f>
        <v>18</v>
      </c>
      <c r="K13" s="2" t="s">
        <v>17</v>
      </c>
      <c r="L13" s="9" t="s">
        <v>66</v>
      </c>
      <c r="M13" s="7" t="s">
        <v>67</v>
      </c>
    </row>
    <row r="14" customFormat="false" ht="15" hidden="false" customHeight="false" outlineLevel="0" collapsed="false">
      <c r="A14" s="2" t="n">
        <v>13</v>
      </c>
      <c r="B14" s="3" t="s">
        <v>68</v>
      </c>
      <c r="C14" s="4" t="s">
        <v>69</v>
      </c>
      <c r="D14" s="4" t="s">
        <v>70</v>
      </c>
      <c r="E14" s="2" t="s">
        <v>35</v>
      </c>
      <c r="F14" s="2" t="n">
        <v>3</v>
      </c>
      <c r="G14" s="2" t="n">
        <v>4</v>
      </c>
      <c r="H14" s="2" t="n">
        <v>4</v>
      </c>
      <c r="I14" s="2" t="n">
        <v>4</v>
      </c>
      <c r="J14" s="5" t="n">
        <f aca="false">SUM(F14:I14)</f>
        <v>15</v>
      </c>
      <c r="K14" s="2" t="s">
        <v>17</v>
      </c>
      <c r="L14" s="9" t="s">
        <v>66</v>
      </c>
      <c r="M14" s="7" t="s">
        <v>71</v>
      </c>
    </row>
    <row r="15" customFormat="false" ht="15" hidden="false" customHeight="false" outlineLevel="0" collapsed="false">
      <c r="A15" s="2" t="n">
        <v>14</v>
      </c>
      <c r="B15" s="3" t="s">
        <v>72</v>
      </c>
      <c r="C15" s="4" t="s">
        <v>73</v>
      </c>
      <c r="D15" s="4" t="s">
        <v>74</v>
      </c>
      <c r="E15" s="2" t="s">
        <v>35</v>
      </c>
      <c r="F15" s="2" t="n">
        <v>2</v>
      </c>
      <c r="G15" s="2" t="n">
        <v>3</v>
      </c>
      <c r="H15" s="2" t="n">
        <v>5</v>
      </c>
      <c r="I15" s="2" t="n">
        <v>4</v>
      </c>
      <c r="J15" s="5" t="n">
        <f aca="false">SUM(F15:I15)</f>
        <v>14</v>
      </c>
      <c r="K15" s="2" t="s">
        <v>17</v>
      </c>
      <c r="L15" s="9" t="s">
        <v>66</v>
      </c>
      <c r="M15" s="7" t="s">
        <v>75</v>
      </c>
    </row>
    <row r="16" customFormat="false" ht="23.85" hidden="false" customHeight="false" outlineLevel="0" collapsed="false">
      <c r="A16" s="2" t="n">
        <v>15</v>
      </c>
      <c r="B16" s="3" t="s">
        <v>76</v>
      </c>
      <c r="C16" s="4" t="s">
        <v>77</v>
      </c>
      <c r="D16" s="4" t="s">
        <v>78</v>
      </c>
      <c r="E16" s="2" t="s">
        <v>35</v>
      </c>
      <c r="F16" s="2" t="n">
        <v>4</v>
      </c>
      <c r="G16" s="2" t="n">
        <v>5</v>
      </c>
      <c r="H16" s="2" t="n">
        <v>5</v>
      </c>
      <c r="I16" s="2" t="n">
        <v>5</v>
      </c>
      <c r="J16" s="5" t="n">
        <f aca="false">SUM(F16:I16)</f>
        <v>19</v>
      </c>
      <c r="K16" s="2" t="s">
        <v>79</v>
      </c>
      <c r="L16" s="10" t="s">
        <v>80</v>
      </c>
      <c r="M16" s="7" t="s">
        <v>81</v>
      </c>
    </row>
    <row r="17" customFormat="false" ht="15" hidden="false" customHeight="false" outlineLevel="0" collapsed="false">
      <c r="A17" s="2" t="n">
        <v>16</v>
      </c>
      <c r="B17" s="3" t="s">
        <v>82</v>
      </c>
      <c r="C17" s="4" t="s">
        <v>83</v>
      </c>
      <c r="D17" s="4" t="s">
        <v>84</v>
      </c>
      <c r="E17" s="2" t="s">
        <v>35</v>
      </c>
      <c r="F17" s="2" t="n">
        <v>4</v>
      </c>
      <c r="G17" s="2" t="n">
        <v>5</v>
      </c>
      <c r="H17" s="2" t="n">
        <v>5</v>
      </c>
      <c r="I17" s="2" t="n">
        <v>5</v>
      </c>
      <c r="J17" s="5" t="n">
        <f aca="false">SUM(F17:I17)</f>
        <v>19</v>
      </c>
      <c r="K17" s="2" t="s">
        <v>79</v>
      </c>
      <c r="L17" s="10" t="s">
        <v>85</v>
      </c>
      <c r="M17" s="7" t="s">
        <v>86</v>
      </c>
    </row>
    <row r="18" customFormat="false" ht="15" hidden="false" customHeight="false" outlineLevel="0" collapsed="false">
      <c r="A18" s="2" t="n">
        <v>17</v>
      </c>
      <c r="B18" s="3" t="s">
        <v>87</v>
      </c>
      <c r="C18" s="4" t="s">
        <v>88</v>
      </c>
      <c r="D18" s="4" t="s">
        <v>89</v>
      </c>
      <c r="E18" s="2" t="s">
        <v>90</v>
      </c>
      <c r="F18" s="2" t="n">
        <v>4</v>
      </c>
      <c r="G18" s="2" t="n">
        <v>5</v>
      </c>
      <c r="H18" s="2" t="n">
        <v>5</v>
      </c>
      <c r="I18" s="2" t="n">
        <v>5</v>
      </c>
      <c r="J18" s="5" t="n">
        <f aca="false">SUM(F18:I18)</f>
        <v>19</v>
      </c>
      <c r="K18" s="2" t="s">
        <v>79</v>
      </c>
      <c r="L18" s="10" t="s">
        <v>91</v>
      </c>
      <c r="M18" s="7" t="s">
        <v>92</v>
      </c>
    </row>
    <row r="19" customFormat="false" ht="23.85" hidden="false" customHeight="false" outlineLevel="0" collapsed="false">
      <c r="A19" s="2" t="n">
        <v>18</v>
      </c>
      <c r="B19" s="3" t="s">
        <v>93</v>
      </c>
      <c r="C19" s="4" t="s">
        <v>94</v>
      </c>
      <c r="D19" s="4" t="s">
        <v>95</v>
      </c>
      <c r="E19" s="2" t="s">
        <v>35</v>
      </c>
      <c r="F19" s="2" t="n">
        <v>5</v>
      </c>
      <c r="G19" s="2" t="n">
        <v>4</v>
      </c>
      <c r="H19" s="2" t="n">
        <v>4</v>
      </c>
      <c r="I19" s="2" t="n">
        <v>5</v>
      </c>
      <c r="J19" s="5" t="n">
        <f aca="false">SUM(F19:I19)</f>
        <v>18</v>
      </c>
      <c r="K19" s="2" t="s">
        <v>96</v>
      </c>
      <c r="L19" s="11" t="s">
        <v>96</v>
      </c>
      <c r="M19" s="7" t="s">
        <v>97</v>
      </c>
    </row>
    <row r="20" customFormat="false" ht="23.85" hidden="false" customHeight="false" outlineLevel="0" collapsed="false">
      <c r="A20" s="2" t="n">
        <v>19</v>
      </c>
      <c r="B20" s="3" t="s">
        <v>98</v>
      </c>
      <c r="C20" s="4" t="s">
        <v>99</v>
      </c>
      <c r="D20" s="4" t="s">
        <v>100</v>
      </c>
      <c r="E20" s="2" t="s">
        <v>35</v>
      </c>
      <c r="F20" s="2" t="n">
        <v>5</v>
      </c>
      <c r="G20" s="2" t="n">
        <v>3</v>
      </c>
      <c r="H20" s="2" t="n">
        <v>3</v>
      </c>
      <c r="I20" s="2" t="n">
        <v>3</v>
      </c>
      <c r="J20" s="5" t="n">
        <f aca="false">SUM(F20:I20)</f>
        <v>14</v>
      </c>
      <c r="K20" s="2" t="s">
        <v>96</v>
      </c>
      <c r="L20" s="11" t="s">
        <v>96</v>
      </c>
      <c r="M20" s="7" t="s">
        <v>101</v>
      </c>
    </row>
    <row r="21" customFormat="false" ht="15" hidden="false" customHeight="false" outlineLevel="0" collapsed="false">
      <c r="A21" s="2" t="n">
        <v>20</v>
      </c>
      <c r="B21" s="3" t="s">
        <v>102</v>
      </c>
      <c r="C21" s="4" t="s">
        <v>103</v>
      </c>
      <c r="D21" s="4" t="s">
        <v>104</v>
      </c>
      <c r="E21" s="2" t="s">
        <v>35</v>
      </c>
      <c r="F21" s="2" t="n">
        <v>2</v>
      </c>
      <c r="G21" s="2" t="n">
        <v>4</v>
      </c>
      <c r="H21" s="2" t="n">
        <v>4</v>
      </c>
      <c r="I21" s="2" t="n">
        <v>4</v>
      </c>
      <c r="J21" s="5" t="n">
        <f aca="false">SUM(F21:I21)</f>
        <v>14</v>
      </c>
      <c r="K21" s="2" t="s">
        <v>96</v>
      </c>
      <c r="L21" s="11" t="s">
        <v>96</v>
      </c>
      <c r="M21" s="7" t="s">
        <v>105</v>
      </c>
    </row>
    <row r="22" customFormat="false" ht="15" hidden="false" customHeight="false" outlineLevel="0" collapsed="false">
      <c r="A22" s="2" t="n">
        <v>21</v>
      </c>
      <c r="B22" s="3" t="s">
        <v>106</v>
      </c>
      <c r="C22" s="4" t="s">
        <v>107</v>
      </c>
      <c r="D22" s="4" t="s">
        <v>108</v>
      </c>
      <c r="E22" s="2" t="s">
        <v>35</v>
      </c>
      <c r="F22" s="2" t="n">
        <v>2</v>
      </c>
      <c r="G22" s="2" t="n">
        <v>4</v>
      </c>
      <c r="H22" s="2" t="n">
        <v>3</v>
      </c>
      <c r="I22" s="2" t="n">
        <v>4</v>
      </c>
      <c r="J22" s="5" t="n">
        <f aca="false">SUM(F22:I22)</f>
        <v>13</v>
      </c>
      <c r="K22" s="2" t="s">
        <v>96</v>
      </c>
      <c r="L22" s="11" t="s">
        <v>96</v>
      </c>
      <c r="M22" s="7" t="s">
        <v>109</v>
      </c>
    </row>
  </sheetData>
  <conditionalFormatting sqref="J2:J22">
    <cfRule type="colorScale" priority="2">
      <colorScale>
        <cfvo type="num" val="8"/>
        <cfvo type="num" val="14"/>
        <cfvo type="num" val="20"/>
        <color rgb="FFF4B7A4"/>
        <color rgb="FFFFEFB5"/>
        <color rgb="FF7BC57B"/>
      </colorScale>
    </cfRule>
  </conditionalFormatting>
  <conditionalFormatting sqref="F2:I22">
    <cfRule type="colorScale" priority="3">
      <colorScale>
        <cfvo type="num" val="1"/>
        <cfvo type="num" val="3"/>
        <cfvo type="num" val="5"/>
        <color rgb="FFF4B7A4"/>
        <color rgb="FFFFEFB5"/>
        <color rgb="FFB5E7A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2" t="s">
        <v>110</v>
      </c>
      <c r="B1" s="13" t="s">
        <v>111</v>
      </c>
    </row>
    <row r="2" customFormat="false" ht="15" hidden="false" customHeight="false" outlineLevel="0" collapsed="false">
      <c r="A2" s="14"/>
      <c r="B2" s="13"/>
    </row>
    <row r="3" customFormat="false" ht="15" hidden="false" customHeight="false" outlineLevel="0" collapsed="false">
      <c r="A3" s="12" t="s">
        <v>112</v>
      </c>
      <c r="B3" s="13" t="s">
        <v>113</v>
      </c>
    </row>
    <row r="4" customFormat="false" ht="15" hidden="false" customHeight="false" outlineLevel="0" collapsed="false">
      <c r="A4" s="14" t="s">
        <v>16</v>
      </c>
      <c r="B4" s="13" t="s">
        <v>114</v>
      </c>
    </row>
    <row r="5" customFormat="false" ht="15" hidden="false" customHeight="false" outlineLevel="0" collapsed="false">
      <c r="A5" s="14" t="s">
        <v>30</v>
      </c>
      <c r="B5" s="13" t="s">
        <v>115</v>
      </c>
    </row>
    <row r="6" customFormat="false" ht="26.85" hidden="false" customHeight="false" outlineLevel="0" collapsed="false">
      <c r="A6" s="14" t="s">
        <v>116</v>
      </c>
      <c r="B6" s="13" t="s">
        <v>117</v>
      </c>
    </row>
    <row r="7" customFormat="false" ht="26.85" hidden="false" customHeight="false" outlineLevel="0" collapsed="false">
      <c r="A7" s="14" t="s">
        <v>118</v>
      </c>
      <c r="B7" s="13" t="s">
        <v>119</v>
      </c>
    </row>
    <row r="8" customFormat="false" ht="15" hidden="false" customHeight="false" outlineLevel="0" collapsed="false">
      <c r="A8" s="14" t="s">
        <v>120</v>
      </c>
      <c r="B8" s="13" t="s">
        <v>121</v>
      </c>
    </row>
    <row r="9" customFormat="false" ht="15" hidden="false" customHeight="false" outlineLevel="0" collapsed="false">
      <c r="A9" s="14" t="s">
        <v>91</v>
      </c>
      <c r="B9" s="13" t="s">
        <v>122</v>
      </c>
    </row>
    <row r="10" customFormat="false" ht="15" hidden="false" customHeight="false" outlineLevel="0" collapsed="false">
      <c r="A10" s="14" t="s">
        <v>96</v>
      </c>
      <c r="B10" s="13" t="s">
        <v>123</v>
      </c>
    </row>
    <row r="11" customFormat="false" ht="15" hidden="false" customHeight="false" outlineLevel="0" collapsed="false">
      <c r="A11" s="14"/>
      <c r="B11" s="13"/>
    </row>
    <row r="12" customFormat="false" ht="15" hidden="false" customHeight="false" outlineLevel="0" collapsed="false">
      <c r="A12" s="12" t="s">
        <v>124</v>
      </c>
      <c r="B12" s="13"/>
    </row>
    <row r="13" customFormat="false" ht="15" hidden="false" customHeight="false" outlineLevel="0" collapsed="false">
      <c r="A13" s="14" t="s">
        <v>47</v>
      </c>
      <c r="B13" s="13" t="s">
        <v>125</v>
      </c>
    </row>
    <row r="14" customFormat="false" ht="26.85" hidden="false" customHeight="false" outlineLevel="0" collapsed="false">
      <c r="A14" s="14" t="s">
        <v>126</v>
      </c>
      <c r="B14" s="13" t="s">
        <v>127</v>
      </c>
    </row>
    <row r="15" customFormat="false" ht="15" hidden="false" customHeight="false" outlineLevel="0" collapsed="false">
      <c r="A15" s="14" t="s">
        <v>128</v>
      </c>
      <c r="B15" s="13" t="s">
        <v>129</v>
      </c>
    </row>
    <row r="16" customFormat="false" ht="15" hidden="false" customHeight="false" outlineLevel="0" collapsed="false">
      <c r="A16" s="14"/>
      <c r="B16" s="13"/>
    </row>
    <row r="17" customFormat="false" ht="15" hidden="false" customHeight="false" outlineLevel="0" collapsed="false">
      <c r="A17" s="12" t="s">
        <v>130</v>
      </c>
      <c r="B17" s="13"/>
    </row>
    <row r="18" customFormat="false" ht="15" hidden="false" customHeight="false" outlineLevel="0" collapsed="false">
      <c r="A18" s="14" t="s">
        <v>131</v>
      </c>
      <c r="B18" s="13" t="s">
        <v>132</v>
      </c>
    </row>
    <row r="19" customFormat="false" ht="15" hidden="false" customHeight="false" outlineLevel="0" collapsed="false">
      <c r="A19" s="14" t="s">
        <v>133</v>
      </c>
      <c r="B19" s="13" t="s">
        <v>134</v>
      </c>
    </row>
    <row r="20" customFormat="false" ht="15" hidden="false" customHeight="false" outlineLevel="0" collapsed="false">
      <c r="A20" s="14" t="s">
        <v>135</v>
      </c>
      <c r="B20" s="1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2026-05-13T00:11:36Z</dcterms:created>
  <dc:creator>openpyxl</dc:creator>
  <dc:description/>
  <dc:language>en-US</dc:language>
  <cp:lastModifiedBy/>
  <dcterms:modified xsi:type="dcterms:W3CDTF">2026-05-13T00:11:36Z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